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Outlet_Summary" sheetId="3" state="visible" r:id="rId5"/>
    <sheet name="Formula_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<sst xmlns="http://schemas.openxmlformats.org/spreadsheetml/2006/main" count="153" uniqueCount="127">
  <si>
    <t xml:space="preserve">📋  TICKET DATA  —  Source Sheet</t>
  </si>
  <si>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</si>
  <si>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</si>
  <si>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</si>
  <si>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</si>
  <si>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</si>
  <si>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</si>
  <si>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</si>
  <si>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</si>
  <si>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</si>
  <si>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</si>
  <si>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</si>
  <si>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</si>
  <si>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</si>
  <si>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</si>
  <si>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cms-wer-201</t>
  </si>
  <si>
    <t xml:space="preserve">abc-lmn-103</t>
  </si>
  <si>
    <t xml:space="preserve">2021-08-21 08:30:00</t>
  </si>
  <si>
    <t xml:space="preserve">2021-08-21 08:55:10</t>
  </si>
  <si>
    <t xml:space="preserve">cms-xyz-301</t>
  </si>
  <si>
    <t xml:space="preserve">bcd-nop-204</t>
  </si>
  <si>
    <t xml:space="preserve">2021-08-22 09:00:00</t>
  </si>
  <si>
    <t xml:space="preserve">2021-08-23 10:15:00</t>
  </si>
  <si>
    <t xml:space="preserve">out-pqr-456</t>
  </si>
  <si>
    <t xml:space="preserve">cms-abc-401</t>
  </si>
  <si>
    <t xml:space="preserve">cde-qrs-305</t>
  </si>
  <si>
    <t xml:space="preserve">2021-08-22 14:00:00</t>
  </si>
  <si>
    <t xml:space="preserve">2021-08-22 14:45:00</t>
  </si>
  <si>
    <t xml:space="preserve">cms-def-501</t>
  </si>
  <si>
    <t xml:space="preserve">def-tuv-406</t>
  </si>
  <si>
    <t xml:space="preserve">2021-08-23 10:00:00</t>
  </si>
  <si>
    <t xml:space="preserve">2021-08-24 11:00:00</t>
  </si>
  <si>
    <t xml:space="preserve">cms-ghi-601</t>
  </si>
  <si>
    <t xml:space="preserve">efg-wxy-507</t>
  </si>
  <si>
    <t xml:space="preserve">2021-08-23 16:30:00</t>
  </si>
  <si>
    <t xml:space="preserve">2021-08-23 16:58:00</t>
  </si>
  <si>
    <t xml:space="preserve">cms-jkl-701</t>
  </si>
  <si>
    <t xml:space="preserve">fgh-yza-608</t>
  </si>
  <si>
    <t xml:space="preserve">2021-08-24 08:00:00</t>
  </si>
  <si>
    <t xml:space="preserve">2021-08-25 09:00:00</t>
  </si>
  <si>
    <t xml:space="preserve">cms-mno-801</t>
  </si>
  <si>
    <t xml:space="preserve">ghi-bcd-709</t>
  </si>
  <si>
    <t xml:space="preserve">2021-08-24 11:30:00</t>
  </si>
  <si>
    <t xml:space="preserve">cms-pqr-901</t>
  </si>
  <si>
    <t xml:space="preserve">hij-efg-810</t>
  </si>
  <si>
    <t xml:space="preserve">2021-08-25 13:00:00</t>
  </si>
  <si>
    <t xml:space="preserve">2021-08-25 13:10:00</t>
  </si>
  <si>
    <t xml:space="preserve">cms-stu-101</t>
  </si>
  <si>
    <t xml:space="preserve">ijk-hij-911</t>
  </si>
  <si>
    <t xml:space="preserve">2021-08-25 15:00:00</t>
  </si>
  <si>
    <t xml:space="preserve">2021-08-26 15:00:00</t>
  </si>
  <si>
    <t xml:space="preserve">cms-vwx-111</t>
  </si>
  <si>
    <t xml:space="preserve">jkl-klm-012</t>
  </si>
  <si>
    <t xml:space="preserve">2021-08-26 09:30:00</t>
  </si>
  <si>
    <t xml:space="preserve">2021-08-26 09:55:00</t>
  </si>
  <si>
    <t xml:space="preserve">cms-yza-121</t>
  </si>
  <si>
    <t xml:space="preserve">💬  FEEDBACKS — With Lookup Formulas &amp; Time Analysis</t>
  </si>
  <si>
    <t xml:space="preserve">BASE DATA + Q1: VLOOKUP ticket_created_at</t>
  </si>
  <si>
    <t xml:space="preserve">Q2 HELPER COLUMNS</t>
  </si>
  <si>
    <t xml:space="preserve">LOOKUP SUPPORT</t>
  </si>
  <si>
    <t xml:space="preserve">OUTLET</t>
  </si>
  <si>
    <t xml:space="preserve">feedback_at</t>
  </si>
  <si>
    <t xml:space="preserve">feedback_rating</t>
  </si>
  <si>
    <t xml:space="preserve">ticket_created_at
(VLOOKUP ← Q1)</t>
  </si>
  <si>
    <t xml:space="preserve">same_day?
(Helper ← Q2a)</t>
  </si>
  <si>
    <t xml:space="preserve">same_hour?
(Helper ← Q2b)</t>
  </si>
  <si>
    <t xml:space="preserve">ticket_closed_at
(VLOOKUP)</t>
  </si>
  <si>
    <t xml:space="preserve">date_created
(INT formula)</t>
  </si>
  <si>
    <t xml:space="preserve">outlet_id
(VLOOKUP)</t>
  </si>
  <si>
    <t xml:space="preserve">2021-08-21 13:26:48</t>
  </si>
  <si>
    <t xml:space="preserve">2021-08-22 10:00:00</t>
  </si>
  <si>
    <t xml:space="preserve">2021-08-22 09:30:00</t>
  </si>
  <si>
    <t xml:space="preserve">2021-08-24 12:00:00</t>
  </si>
  <si>
    <t xml:space="preserve">2021-08-23 09:00:00</t>
  </si>
  <si>
    <t xml:space="preserve">2021-08-25 08:00:00</t>
  </si>
  <si>
    <t xml:space="preserve">2021-08-24 17:00:00</t>
  </si>
  <si>
    <t xml:space="preserve">2021-08-26 10:00:00</t>
  </si>
  <si>
    <t xml:space="preserve">2021-08-25 12:00:00</t>
  </si>
  <si>
    <t xml:space="preserve">2021-08-26 09:00:00</t>
  </si>
  <si>
    <t xml:space="preserve">2021-08-27 11:00:00</t>
  </si>
  <si>
    <t xml:space="preserve">2021-08-27 08:30:00</t>
  </si>
  <si>
    <t xml:space="preserve">📊  Q2 ANSWER — Outlet-wise Ticket Count  (Same Day &amp; Same Hour)</t>
  </si>
  <si>
    <t xml:space="preserve">Tickets created AND closed on the SAME DAY / SAME HOUR — by Outlet</t>
  </si>
  <si>
    <t xml:space="preserve">Outlet ID</t>
  </si>
  <si>
    <t xml:space="preserve">Total
Feedbacks</t>
  </si>
  <si>
    <t xml:space="preserve">Closed Same Day
(Q2a)</t>
  </si>
  <si>
    <t xml:space="preserve">Closed Same Hour
(Q2b)</t>
  </si>
  <si>
    <t xml:space="preserve">Same-Day
Rate %</t>
  </si>
  <si>
    <t xml:space="preserve">TOTAL</t>
  </si>
  <si>
    <t xml:space="preserve">📖  FORMULA GUIDE — Step-by-Step Explanation</t>
  </si>
  <si>
    <t xml:space="preserve">  Q1 — Populate ticket_created_at in feedbacks sheet</t>
  </si>
  <si>
    <t xml:space="preserve">Goal: Pull the 'created_at' timestamp from the ticket sheet into the feedbacks sheet,
      matching rows by cms_id.</t>
  </si>
  <si>
    <t xml:space="preserve">WHY INDEX-MATCH instead of VLOOKUP?
VLOOKUP only looks LEFT-to-RIGHT and requires the lookup key (cms_id) to be the FIRST
column of the range. In the ticket sheet, cms_id is the LAST column (E), so VLOOKUP
cannot be used directly. INDEX-MATCH has no such restriction.</t>
  </si>
  <si>
    <t xml:space="preserve">  • MATCH(A4, ticket!$E:$E, 0)  → finds the ROW number where cms_id matches</t>
  </si>
  <si>
    <t xml:space="preserve">  • INDEX(ticket!$B:$B, …)       → returns the value in column B (created_at) at that row</t>
  </si>
  <si>
    <t xml:space="preserve">  • IFERROR(…, "NOT FOUND")      → handles cms_ids that don't exist in ticket sheet</t>
  </si>
  <si>
    <t xml:space="preserve">VLOOKUP Alternative (if cms_id were the FIRST column in ticket):</t>
  </si>
  <si>
    <t xml:space="preserve">'=VLOOKUP(A4, ticket!$A:$E, 2, FALSE())   ← returns column 2 (created_at)</t>
  </si>
  <si>
    <t xml:space="preserve">  This would only work if ticket columns were: cms_id | created_at | ... (cms_id first)</t>
  </si>
  <si>
    <t xml:space="preserve">  Q2a — Count tickets created AND closed on the SAME DAY (per outlet)</t>
  </si>
  <si>
    <t xml:space="preserve">Step 1: Create helper column 'same_day?' in the feedbacks sheet.</t>
  </si>
  <si>
    <t xml:space="preserve">        Compare the DATE portion of ticket_created_at vs ticket_closed_at.</t>
  </si>
  <si>
    <t xml:space="preserve">same_day? =IF(OR(D4="NOT FOUND",G4="NOT FOUND"),"N/A",
            IF(LEFT(D4,10)=LEFT(G4,10),"YES","NO"))</t>
  </si>
  <si>
    <t xml:space="preserve">  • LEFT(D4, 10) extracts 'YYYY-MM-DD' (first 10 characters of the timestamp string)</t>
  </si>
  <si>
    <t xml:space="preserve">  • If both date portions are equal → ticket was closed on the SAME DAY it was created</t>
  </si>
  <si>
    <t xml:space="preserve">Step 2: Count YES values per outlet using COUNTIFS in Outlet_Summary sheet.</t>
  </si>
  <si>
    <t xml:space="preserve">'=COUNTIFS(feedbacks!$I:$I, outlet_id, feedbacks!$E:$E, "YES")</t>
  </si>
  <si>
    <t xml:space="preserve">  • feedbacks!$I:$I = outlet_id column (pulled via INDEX-MATCH)</t>
  </si>
  <si>
    <t xml:space="preserve">  • feedbacks!$E:$E = same_day? column</t>
  </si>
  <si>
    <t xml:space="preserve">  • Counts only rows where BOTH conditions are true simultaneously</t>
  </si>
  <si>
    <t xml:space="preserve">  Q2b — Count tickets created AND closed in the SAME HOUR of the SAME DAY (per outlet)</t>
  </si>
  <si>
    <t xml:space="preserve">Step 1: Create helper column 'same_hour?' — only possible when same_day? = YES.</t>
  </si>
  <si>
    <t xml:space="preserve">same_hour? =IF(E4&lt;&gt;"YES","NO",
             IF(MID(D4,12,2)=MID(G4,12,2),"YES","NO"))</t>
  </si>
  <si>
    <t xml:space="preserve">  • E4 = same_day? — if not YES, same_hour is automatically NO</t>
  </si>
  <si>
    <t xml:space="preserve">  • MID(D4, 12, 2) extracts characters 12-13 = 'HH' (hour) from 'YYYY-MM-DD HH:MM:SS'</t>
  </si>
  <si>
    <t xml:space="preserve">    Example: MID("2021-08-21 11:09:22", 12, 2) → "11"</t>
  </si>
  <si>
    <t xml:space="preserve">  • Compares hour of created_at with hour of closed_at</t>
  </si>
  <si>
    <t xml:space="preserve">Step 2: Count YES values per outlet using COUNTIFS.</t>
  </si>
  <si>
    <t xml:space="preserve">'=COUNTIFS(feedbacks!$I:$I, outlet_id, feedbacks!$F:$F, "YES")</t>
  </si>
  <si>
    <t xml:space="preserve">  • feedbacks!$F:$F = same_hour? column</t>
  </si>
  <si>
    <t xml:space="preserve">  Timestamp String Anatomy</t>
  </si>
  <si>
    <t xml:space="preserve">  Position:   1234567890123456789</t>
  </si>
  <si>
    <t xml:space="preserve">  String:     2021-08-21 11:09:22</t>
  </si>
  <si>
    <t xml:space="preserve">  LEFT(x,10) → 2021-08-21          ← DATE portion  (used in same_day check)</t>
  </si>
  <si>
    <t xml:space="preserve">  MID(x,12,2) → 11                 ← HOUR portion  (used in same_hour check)</t>
  </si>
  <si>
    <t xml:space="preserve">  MID(x,15,2) → 09                 ← MINUTE portion</t>
  </si>
  <si>
    <t xml:space="preserve">  MID(x,18,2) → 22                 ← SECOND portion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</si>
</sst>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7F5A00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375623"/>
      <name val="Calibri"/>
      <family val="0"/>
      <charset val="1"/>
    </font>
    <font>
      <b val="true"/>
      <sz val="10"/>
      <color rgb="FF7F5A00"/>
      <name val="Calibri"/>
      <family val="0"/>
      <charset val="1"/>
    </font>
    <font>
      <sz val="10"/>
      <color rgb="FF1F4E79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404040"/>
      <name val="Calibri"/>
      <family val="0"/>
      <charset val="1"/>
    </font>
    <font>
      <sz val="9"/>
      <color rgb="FF7F5A00"/>
      <name val="Calibri"/>
      <family val="0"/>
      <charset val="1"/>
    </font>
    <font>
      <b val="true"/>
      <sz val="10"/>
      <color rgb="FF375623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5C7C4D"/>
        <bgColor rgb="FF666699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5A00"/>
      <rgbColor rgb="FF800080"/>
      <rgbColor rgb="FF008080"/>
      <rgbColor rgb="FFBFBFBF"/>
      <rgbColor rgb="FF5C7C4D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2"/>
    <col collapsed="false" customWidth="true" hidden="false" outlineLevel="0" max="5" min="4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customFormat="false" ht="15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9</v>
      </c>
      <c r="E5" s="4" t="s">
        <v>19</v>
      </c>
    </row>
    <row r="6" customFormat="false" ht="15" hidden="false" customHeight="tru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  <row r="7" customFormat="false" ht="15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14</v>
      </c>
      <c r="E7" s="4" t="s">
        <v>28</v>
      </c>
    </row>
    <row r="8" customFormat="false" ht="15" hidden="false" customHeight="true" outlineLevel="0" collapsed="false">
      <c r="A8" s="5" t="s">
        <v>29</v>
      </c>
      <c r="B8" s="5" t="s">
        <v>30</v>
      </c>
      <c r="C8" s="5" t="s">
        <v>31</v>
      </c>
      <c r="D8" s="5" t="s">
        <v>23</v>
      </c>
      <c r="E8" s="5" t="s">
        <v>32</v>
      </c>
    </row>
    <row r="9" customFormat="false" ht="15" hidden="false" customHeight="true" outlineLevel="0" collapsed="false">
      <c r="A9" s="4" t="s">
        <v>33</v>
      </c>
      <c r="B9" s="4" t="s">
        <v>34</v>
      </c>
      <c r="C9" s="4" t="s">
        <v>35</v>
      </c>
      <c r="D9" s="4" t="s">
        <v>9</v>
      </c>
      <c r="E9" s="4" t="s">
        <v>36</v>
      </c>
    </row>
    <row r="10" customFormat="false" ht="15" hidden="false" customHeight="true" outlineLevel="0" collapsed="false">
      <c r="A10" s="5" t="s">
        <v>37</v>
      </c>
      <c r="B10" s="5" t="s">
        <v>38</v>
      </c>
      <c r="C10" s="5" t="s">
        <v>39</v>
      </c>
      <c r="D10" s="5" t="s">
        <v>23</v>
      </c>
      <c r="E10" s="5" t="s">
        <v>40</v>
      </c>
    </row>
    <row r="11" customFormat="false" ht="15" hidden="false" customHeight="true" outlineLevel="0" collapsed="false">
      <c r="A11" s="4" t="s">
        <v>41</v>
      </c>
      <c r="B11" s="4" t="s">
        <v>31</v>
      </c>
      <c r="C11" s="4" t="s">
        <v>42</v>
      </c>
      <c r="D11" s="4" t="s">
        <v>14</v>
      </c>
      <c r="E11" s="4" t="s">
        <v>43</v>
      </c>
    </row>
    <row r="12" customFormat="false" ht="15" hidden="false" customHeight="true" outlineLevel="0" collapsed="false">
      <c r="A12" s="5" t="s">
        <v>44</v>
      </c>
      <c r="B12" s="5" t="s">
        <v>45</v>
      </c>
      <c r="C12" s="5" t="s">
        <v>46</v>
      </c>
      <c r="D12" s="5" t="s">
        <v>9</v>
      </c>
      <c r="E12" s="5" t="s">
        <v>47</v>
      </c>
    </row>
    <row r="13" customFormat="false" ht="15" hidden="false" customHeight="true" outlineLevel="0" collapsed="false">
      <c r="A13" s="4" t="s">
        <v>48</v>
      </c>
      <c r="B13" s="4" t="s">
        <v>49</v>
      </c>
      <c r="C13" s="4" t="s">
        <v>50</v>
      </c>
      <c r="D13" s="4" t="s">
        <v>23</v>
      </c>
      <c r="E13" s="4" t="s">
        <v>51</v>
      </c>
    </row>
    <row r="14" customFormat="false" ht="15" hidden="false" customHeight="true" outlineLevel="0" collapsed="false">
      <c r="A14" s="5" t="s">
        <v>52</v>
      </c>
      <c r="B14" s="5" t="s">
        <v>53</v>
      </c>
      <c r="C14" s="5" t="s">
        <v>54</v>
      </c>
      <c r="D14" s="5" t="s">
        <v>14</v>
      </c>
      <c r="E14" s="5" t="s">
        <v>55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24"/>
    <col collapsed="false" customWidth="true" hidden="false" outlineLevel="0" max="6" min="5" style="1" width="12"/>
    <col collapsed="false" customWidth="true" hidden="false" outlineLevel="0" max="7" min="7" style="1" width="24"/>
    <col collapsed="false" customWidth="true" hidden="false" outlineLevel="0" max="8" min="8" style="1" width="14"/>
    <col collapsed="false" customWidth="true" hidden="false" outlineLevel="0" max="9" min="9" style="1" width="16"/>
  </cols>
  <sheetData>
    <row r="1" customFormat="false" ht="25.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6" t="s">
        <v>57</v>
      </c>
      <c r="B2" s="6"/>
      <c r="C2" s="6"/>
      <c r="D2" s="6"/>
      <c r="E2" s="7" t="s">
        <v>58</v>
      </c>
      <c r="F2" s="7"/>
      <c r="G2" s="8" t="s">
        <v>59</v>
      </c>
      <c r="H2" s="8"/>
      <c r="I2" s="9" t="s">
        <v>60</v>
      </c>
    </row>
    <row r="3" customFormat="false" ht="33.75" hidden="false" customHeight="true" outlineLevel="0" collapsed="false">
      <c r="A3" s="10" t="s">
        <v>5</v>
      </c>
      <c r="B3" s="10" t="s">
        <v>61</v>
      </c>
      <c r="C3" s="10" t="s">
        <v>62</v>
      </c>
      <c r="D3" s="11" t="s">
        <v>63</v>
      </c>
      <c r="E3" s="12" t="s">
        <v>64</v>
      </c>
      <c r="F3" s="12" t="s">
        <v>65</v>
      </c>
      <c r="G3" s="13" t="s">
        <v>66</v>
      </c>
      <c r="H3" s="13" t="s">
        <v>67</v>
      </c>
      <c r="I3" s="10" t="s">
        <v>68</v>
      </c>
    </row>
    <row r="4" customFormat="false" ht="15" hidden="false" customHeight="true" outlineLevel="0" collapsed="false">
      <c r="A4" s="14" t="s">
        <v>10</v>
      </c>
      <c r="B4" s="4" t="s">
        <v>69</v>
      </c>
      <c r="C4" s="15" t="n">
        <v>3</v>
      </c>
      <c r="D4" s="16" t="str">
        <f aca="false">IFERROR(INDEX(ticket!$B:$B,MATCH(A4,ticket!$E:$E,0)),"NOT FOUND")</f>
        <v>2021-08-19 16:45:43</v>
      </c>
      <c r="E4" s="17" t="str">
        <f aca="false">IF(OR(D4="NOT FOUND",G4="NOT FOUND"),"N/A",IF(LEFT(D4,10)=LEFT(G4,10),"YES","NO"))</f>
        <v>NO</v>
      </c>
      <c r="F4" s="17" t="str">
        <f aca="false">IF(E4&lt;&gt;"YES","NO",IF(MID(D4,12,2)=MID(G4,12,2),"YES","NO"))</f>
        <v>NO</v>
      </c>
      <c r="G4" s="18" t="str">
        <f aca="false">IFERROR(INDEX(ticket!$C:$C,MATCH(A4,ticket!$E:$E,0)),"NOT FOUND")</f>
        <v>2021-08-22 12:33:32</v>
      </c>
      <c r="H4" s="19" t="n">
        <f aca="false">IFERROR(DATEVALUE(LEFT(D4,10)),"ERR")</f>
        <v>44427</v>
      </c>
      <c r="I4" s="20" t="str">
        <f aca="false">IFERROR(INDEX(ticket!$D:$D,MATCH(A4,ticket!$E:$E,0)),"")</f>
        <v>wrqy-juv-978</v>
      </c>
    </row>
    <row r="5" customFormat="false" ht="15" hidden="false" customHeight="true" outlineLevel="0" collapsed="false">
      <c r="A5" s="21" t="s">
        <v>15</v>
      </c>
      <c r="B5" s="5" t="s">
        <v>70</v>
      </c>
      <c r="C5" s="22" t="n">
        <v>5</v>
      </c>
      <c r="D5" s="16" t="str">
        <f aca="false">IFERROR(INDEX(ticket!$B:$B,MATCH(A5,ticket!$E:$E,0)),"NOT FOUND")</f>
        <v>2021-08-21 11:09:22</v>
      </c>
      <c r="E5" s="17" t="str">
        <f aca="false">IF(OR(D5="NOT FOUND",G5="NOT FOUND"),"N/A",IF(LEFT(D5,10)=LEFT(G5,10),"YES","NO"))</f>
        <v>YES</v>
      </c>
      <c r="F5" s="17" t="str">
        <f aca="false">IF(E5&lt;&gt;"YES","NO",IF(MID(D5,12,2)=MID(G5,12,2),"YES","NO"))</f>
        <v>NO</v>
      </c>
      <c r="G5" s="18" t="str">
        <f aca="false">IFERROR(INDEX(ticket!$C:$C,MATCH(A5,ticket!$E:$E,0)),"NOT FOUND")</f>
        <v>2021-08-21 17:13:45</v>
      </c>
      <c r="H5" s="19" t="n">
        <f aca="false">IFERROR(DATEVALUE(LEFT(D5,10)),"ERR")</f>
        <v>44429</v>
      </c>
      <c r="I5" s="20" t="str">
        <f aca="false">IFERROR(INDEX(ticket!$D:$D,MATCH(A5,ticket!$E:$E,0)),"")</f>
        <v>8woh-k3u-23b</v>
      </c>
    </row>
    <row r="6" customFormat="false" ht="15" hidden="false" customHeight="true" outlineLevel="0" collapsed="false">
      <c r="A6" s="14" t="s">
        <v>19</v>
      </c>
      <c r="B6" s="4" t="s">
        <v>71</v>
      </c>
      <c r="C6" s="15" t="n">
        <v>4</v>
      </c>
      <c r="D6" s="16" t="str">
        <f aca="false">IFERROR(INDEX(ticket!$B:$B,MATCH(A6,ticket!$E:$E,0)),"NOT FOUND")</f>
        <v>2021-08-21 08:30:00</v>
      </c>
      <c r="E6" s="17" t="str">
        <f aca="false">IF(OR(D6="NOT FOUND",G6="NOT FOUND"),"N/A",IF(LEFT(D6,10)=LEFT(G6,10),"YES","NO"))</f>
        <v>YES</v>
      </c>
      <c r="F6" s="17" t="str">
        <f aca="false">IF(E6&lt;&gt;"YES","NO",IF(MID(D6,12,2)=MID(G6,12,2),"YES","NO"))</f>
        <v>YES</v>
      </c>
      <c r="G6" s="18" t="str">
        <f aca="false">IFERROR(INDEX(ticket!$C:$C,MATCH(A6,ticket!$E:$E,0)),"NOT FOUND")</f>
        <v>2021-08-21 08:55:10</v>
      </c>
      <c r="H6" s="19" t="n">
        <f aca="false">IFERROR(DATEVALUE(LEFT(D6,10)),"ERR")</f>
        <v>44429</v>
      </c>
      <c r="I6" s="20" t="str">
        <f aca="false">IFERROR(INDEX(ticket!$D:$D,MATCH(A6,ticket!$E:$E,0)),"")</f>
        <v>wrqy-juv-978</v>
      </c>
    </row>
    <row r="7" customFormat="false" ht="15" hidden="false" customHeight="true" outlineLevel="0" collapsed="false">
      <c r="A7" s="21" t="s">
        <v>24</v>
      </c>
      <c r="B7" s="5" t="s">
        <v>72</v>
      </c>
      <c r="C7" s="22" t="n">
        <v>2</v>
      </c>
      <c r="D7" s="16" t="str">
        <f aca="false">IFERROR(INDEX(ticket!$B:$B,MATCH(A7,ticket!$E:$E,0)),"NOT FOUND")</f>
        <v>2021-08-22 09:00:00</v>
      </c>
      <c r="E7" s="17" t="str">
        <f aca="false">IF(OR(D7="NOT FOUND",G7="NOT FOUND"),"N/A",IF(LEFT(D7,10)=LEFT(G7,10),"YES","NO"))</f>
        <v>NO</v>
      </c>
      <c r="F7" s="17" t="str">
        <f aca="false">IF(E7&lt;&gt;"YES","NO",IF(MID(D7,12,2)=MID(G7,12,2),"YES","NO"))</f>
        <v>NO</v>
      </c>
      <c r="G7" s="18" t="str">
        <f aca="false">IFERROR(INDEX(ticket!$C:$C,MATCH(A7,ticket!$E:$E,0)),"NOT FOUND")</f>
        <v>2021-08-23 10:15:00</v>
      </c>
      <c r="H7" s="19" t="n">
        <f aca="false">IFERROR(DATEVALUE(LEFT(D7,10)),"ERR")</f>
        <v>44430</v>
      </c>
      <c r="I7" s="20" t="str">
        <f aca="false">IFERROR(INDEX(ticket!$D:$D,MATCH(A7,ticket!$E:$E,0)),"")</f>
        <v>out-pqr-456</v>
      </c>
    </row>
    <row r="8" customFormat="false" ht="15" hidden="false" customHeight="true" outlineLevel="0" collapsed="false">
      <c r="A8" s="14" t="s">
        <v>28</v>
      </c>
      <c r="B8" s="4" t="s">
        <v>73</v>
      </c>
      <c r="C8" s="15" t="n">
        <v>5</v>
      </c>
      <c r="D8" s="16" t="str">
        <f aca="false">IFERROR(INDEX(ticket!$B:$B,MATCH(A8,ticket!$E:$E,0)),"NOT FOUND")</f>
        <v>2021-08-22 14:00:00</v>
      </c>
      <c r="E8" s="17" t="str">
        <f aca="false">IF(OR(D8="NOT FOUND",G8="NOT FOUND"),"N/A",IF(LEFT(D8,10)=LEFT(G8,10),"YES","NO"))</f>
        <v>YES</v>
      </c>
      <c r="F8" s="17" t="str">
        <f aca="false">IF(E8&lt;&gt;"YES","NO",IF(MID(D8,12,2)=MID(G8,12,2),"YES","NO"))</f>
        <v>YES</v>
      </c>
      <c r="G8" s="18" t="str">
        <f aca="false">IFERROR(INDEX(ticket!$C:$C,MATCH(A8,ticket!$E:$E,0)),"NOT FOUND")</f>
        <v>2021-08-22 14:45:00</v>
      </c>
      <c r="H8" s="19" t="n">
        <f aca="false">IFERROR(DATEVALUE(LEFT(D8,10)),"ERR")</f>
        <v>44430</v>
      </c>
      <c r="I8" s="20" t="str">
        <f aca="false">IFERROR(INDEX(ticket!$D:$D,MATCH(A8,ticket!$E:$E,0)),"")</f>
        <v>8woh-k3u-23b</v>
      </c>
    </row>
    <row r="9" customFormat="false" ht="15" hidden="false" customHeight="true" outlineLevel="0" collapsed="false">
      <c r="A9" s="21" t="s">
        <v>32</v>
      </c>
      <c r="B9" s="5" t="s">
        <v>74</v>
      </c>
      <c r="C9" s="22" t="n">
        <v>3</v>
      </c>
      <c r="D9" s="16" t="str">
        <f aca="false">IFERROR(INDEX(ticket!$B:$B,MATCH(A9,ticket!$E:$E,0)),"NOT FOUND")</f>
        <v>2021-08-23 10:00:00</v>
      </c>
      <c r="E9" s="17" t="str">
        <f aca="false">IF(OR(D9="NOT FOUND",G9="NOT FOUND"),"N/A",IF(LEFT(D9,10)=LEFT(G9,10),"YES","NO"))</f>
        <v>NO</v>
      </c>
      <c r="F9" s="17" t="str">
        <f aca="false">IF(E9&lt;&gt;"YES","NO",IF(MID(D9,12,2)=MID(G9,12,2),"YES","NO"))</f>
        <v>NO</v>
      </c>
      <c r="G9" s="18" t="str">
        <f aca="false">IFERROR(INDEX(ticket!$C:$C,MATCH(A9,ticket!$E:$E,0)),"NOT FOUND")</f>
        <v>2021-08-24 11:00:00</v>
      </c>
      <c r="H9" s="19" t="n">
        <f aca="false">IFERROR(DATEVALUE(LEFT(D9,10)),"ERR")</f>
        <v>44431</v>
      </c>
      <c r="I9" s="20" t="str">
        <f aca="false">IFERROR(INDEX(ticket!$D:$D,MATCH(A9,ticket!$E:$E,0)),"")</f>
        <v>out-pqr-456</v>
      </c>
    </row>
    <row r="10" customFormat="false" ht="15" hidden="false" customHeight="true" outlineLevel="0" collapsed="false">
      <c r="A10" s="14" t="s">
        <v>36</v>
      </c>
      <c r="B10" s="4" t="s">
        <v>75</v>
      </c>
      <c r="C10" s="15" t="n">
        <v>4</v>
      </c>
      <c r="D10" s="16" t="str">
        <f aca="false">IFERROR(INDEX(ticket!$B:$B,MATCH(A10,ticket!$E:$E,0)),"NOT FOUND")</f>
        <v>2021-08-23 16:30:00</v>
      </c>
      <c r="E10" s="17" t="str">
        <f aca="false">IF(OR(D10="NOT FOUND",G10="NOT FOUND"),"N/A",IF(LEFT(D10,10)=LEFT(G10,10),"YES","NO"))</f>
        <v>YES</v>
      </c>
      <c r="F10" s="17" t="str">
        <f aca="false">IF(E10&lt;&gt;"YES","NO",IF(MID(D10,12,2)=MID(G10,12,2),"YES","NO"))</f>
        <v>YES</v>
      </c>
      <c r="G10" s="18" t="str">
        <f aca="false">IFERROR(INDEX(ticket!$C:$C,MATCH(A10,ticket!$E:$E,0)),"NOT FOUND")</f>
        <v>2021-08-23 16:58:00</v>
      </c>
      <c r="H10" s="19" t="n">
        <f aca="false">IFERROR(DATEVALUE(LEFT(D10,10)),"ERR")</f>
        <v>44431</v>
      </c>
      <c r="I10" s="20" t="str">
        <f aca="false">IFERROR(INDEX(ticket!$D:$D,MATCH(A10,ticket!$E:$E,0)),"")</f>
        <v>wrqy-juv-978</v>
      </c>
    </row>
    <row r="11" customFormat="false" ht="15" hidden="false" customHeight="true" outlineLevel="0" collapsed="false">
      <c r="A11" s="21" t="s">
        <v>40</v>
      </c>
      <c r="B11" s="5" t="s">
        <v>76</v>
      </c>
      <c r="C11" s="22" t="n">
        <v>1</v>
      </c>
      <c r="D11" s="16" t="str">
        <f aca="false">IFERROR(INDEX(ticket!$B:$B,MATCH(A11,ticket!$E:$E,0)),"NOT FOUND")</f>
        <v>2021-08-24 08:00:00</v>
      </c>
      <c r="E11" s="17" t="str">
        <f aca="false">IF(OR(D11="NOT FOUND",G11="NOT FOUND"),"N/A",IF(LEFT(D11,10)=LEFT(G11,10),"YES","NO"))</f>
        <v>NO</v>
      </c>
      <c r="F11" s="17" t="str">
        <f aca="false">IF(E11&lt;&gt;"YES","NO",IF(MID(D11,12,2)=MID(G11,12,2),"YES","NO"))</f>
        <v>NO</v>
      </c>
      <c r="G11" s="18" t="str">
        <f aca="false">IFERROR(INDEX(ticket!$C:$C,MATCH(A11,ticket!$E:$E,0)),"NOT FOUND")</f>
        <v>2021-08-25 09:00:00</v>
      </c>
      <c r="H11" s="19" t="n">
        <f aca="false">IFERROR(DATEVALUE(LEFT(D11,10)),"ERR")</f>
        <v>44432</v>
      </c>
      <c r="I11" s="20" t="str">
        <f aca="false">IFERROR(INDEX(ticket!$D:$D,MATCH(A11,ticket!$E:$E,0)),"")</f>
        <v>out-pqr-456</v>
      </c>
    </row>
    <row r="12" customFormat="false" ht="15" hidden="false" customHeight="true" outlineLevel="0" collapsed="false">
      <c r="A12" s="14" t="s">
        <v>43</v>
      </c>
      <c r="B12" s="4" t="s">
        <v>77</v>
      </c>
      <c r="C12" s="15" t="n">
        <v>5</v>
      </c>
      <c r="D12" s="16" t="str">
        <f aca="false">IFERROR(INDEX(ticket!$B:$B,MATCH(A12,ticket!$E:$E,0)),"NOT FOUND")</f>
        <v>2021-08-24 11:00:00</v>
      </c>
      <c r="E12" s="17" t="str">
        <f aca="false">IF(OR(D12="NOT FOUND",G12="NOT FOUND"),"N/A",IF(LEFT(D12,10)=LEFT(G12,10),"YES","NO"))</f>
        <v>YES</v>
      </c>
      <c r="F12" s="17" t="str">
        <f aca="false">IF(E12&lt;&gt;"YES","NO",IF(MID(D12,12,2)=MID(G12,12,2),"YES","NO"))</f>
        <v>YES</v>
      </c>
      <c r="G12" s="18" t="str">
        <f aca="false">IFERROR(INDEX(ticket!$C:$C,MATCH(A12,ticket!$E:$E,0)),"NOT FOUND")</f>
        <v>2021-08-24 11:30:00</v>
      </c>
      <c r="H12" s="19" t="n">
        <f aca="false">IFERROR(DATEVALUE(LEFT(D12,10)),"ERR")</f>
        <v>44432</v>
      </c>
      <c r="I12" s="20" t="str">
        <f aca="false">IFERROR(INDEX(ticket!$D:$D,MATCH(A12,ticket!$E:$E,0)),"")</f>
        <v>8woh-k3u-23b</v>
      </c>
    </row>
    <row r="13" customFormat="false" ht="15" hidden="false" customHeight="true" outlineLevel="0" collapsed="false">
      <c r="A13" s="21" t="s">
        <v>47</v>
      </c>
      <c r="B13" s="5" t="s">
        <v>78</v>
      </c>
      <c r="C13" s="22" t="n">
        <v>4</v>
      </c>
      <c r="D13" s="16" t="str">
        <f aca="false">IFERROR(INDEX(ticket!$B:$B,MATCH(A13,ticket!$E:$E,0)),"NOT FOUND")</f>
        <v>2021-08-25 13:00:00</v>
      </c>
      <c r="E13" s="17" t="str">
        <f aca="false">IF(OR(D13="NOT FOUND",G13="NOT FOUND"),"N/A",IF(LEFT(D13,10)=LEFT(G13,10),"YES","NO"))</f>
        <v>YES</v>
      </c>
      <c r="F13" s="17" t="str">
        <f aca="false">IF(E13&lt;&gt;"YES","NO",IF(MID(D13,12,2)=MID(G13,12,2),"YES","NO"))</f>
        <v>YES</v>
      </c>
      <c r="G13" s="18" t="str">
        <f aca="false">IFERROR(INDEX(ticket!$C:$C,MATCH(A13,ticket!$E:$E,0)),"NOT FOUND")</f>
        <v>2021-08-25 13:10:00</v>
      </c>
      <c r="H13" s="19" t="n">
        <f aca="false">IFERROR(DATEVALUE(LEFT(D13,10)),"ERR")</f>
        <v>44433</v>
      </c>
      <c r="I13" s="20" t="str">
        <f aca="false">IFERROR(INDEX(ticket!$D:$D,MATCH(A13,ticket!$E:$E,0)),"")</f>
        <v>wrqy-juv-978</v>
      </c>
    </row>
    <row r="14" customFormat="false" ht="15" hidden="false" customHeight="true" outlineLevel="0" collapsed="false">
      <c r="A14" s="14" t="s">
        <v>51</v>
      </c>
      <c r="B14" s="4" t="s">
        <v>79</v>
      </c>
      <c r="C14" s="15" t="n">
        <v>2</v>
      </c>
      <c r="D14" s="16" t="str">
        <f aca="false">IFERROR(INDEX(ticket!$B:$B,MATCH(A14,ticket!$E:$E,0)),"NOT FOUND")</f>
        <v>2021-08-25 15:00:00</v>
      </c>
      <c r="E14" s="17" t="str">
        <f aca="false">IF(OR(D14="NOT FOUND",G14="NOT FOUND"),"N/A",IF(LEFT(D14,10)=LEFT(G14,10),"YES","NO"))</f>
        <v>NO</v>
      </c>
      <c r="F14" s="17" t="str">
        <f aca="false">IF(E14&lt;&gt;"YES","NO",IF(MID(D14,12,2)=MID(G14,12,2),"YES","NO"))</f>
        <v>NO</v>
      </c>
      <c r="G14" s="18" t="str">
        <f aca="false">IFERROR(INDEX(ticket!$C:$C,MATCH(A14,ticket!$E:$E,0)),"NOT FOUND")</f>
        <v>2021-08-26 15:00:00</v>
      </c>
      <c r="H14" s="19" t="n">
        <f aca="false">IFERROR(DATEVALUE(LEFT(D14,10)),"ERR")</f>
        <v>44433</v>
      </c>
      <c r="I14" s="20" t="str">
        <f aca="false">IFERROR(INDEX(ticket!$D:$D,MATCH(A14,ticket!$E:$E,0)),"")</f>
        <v>out-pqr-456</v>
      </c>
    </row>
    <row r="15" customFormat="false" ht="15" hidden="false" customHeight="true" outlineLevel="0" collapsed="false">
      <c r="A15" s="21" t="s">
        <v>55</v>
      </c>
      <c r="B15" s="5" t="s">
        <v>80</v>
      </c>
      <c r="C15" s="22" t="n">
        <v>5</v>
      </c>
      <c r="D15" s="16" t="str">
        <f aca="false">IFERROR(INDEX(ticket!$B:$B,MATCH(A15,ticket!$E:$E,0)),"NOT FOUND")</f>
        <v>2021-08-26 09:30:00</v>
      </c>
      <c r="E15" s="17" t="str">
        <f aca="false">IF(OR(D15="NOT FOUND",G15="NOT FOUND"),"N/A",IF(LEFT(D15,10)=LEFT(G15,10),"YES","NO"))</f>
        <v>YES</v>
      </c>
      <c r="F15" s="17" t="str">
        <f aca="false">IF(E15&lt;&gt;"YES","NO",IF(MID(D15,12,2)=MID(G15,12,2),"YES","NO"))</f>
        <v>YES</v>
      </c>
      <c r="G15" s="18" t="str">
        <f aca="false">IFERROR(INDEX(ticket!$C:$C,MATCH(A15,ticket!$E:$E,0)),"NOT FOUND")</f>
        <v>2021-08-26 09:55:00</v>
      </c>
      <c r="H15" s="19" t="n">
        <f aca="false">IFERROR(DATEVALUE(LEFT(D15,10)),"ERR")</f>
        <v>44434</v>
      </c>
      <c r="I15" s="20" t="str">
        <f aca="false">IFERROR(INDEX(ticket!$D:$D,MATCH(A15,ticket!$E:$E,0)),"")</f>
        <v>8woh-k3u-23b</v>
      </c>
    </row>
  </sheetData>
  <mergeCells count="4">
    <mergeCell ref="A1:I1"/>
    <mergeCell ref="A2:D2"/>
    <mergeCell ref="E2:F2"/>
    <mergeCell ref="G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81</v>
      </c>
      <c r="B1" s="2"/>
      <c r="C1" s="2"/>
      <c r="D1" s="2"/>
      <c r="E1" s="2"/>
    </row>
    <row r="2" customFormat="false" ht="19.5" hidden="false" customHeight="true" outlineLevel="0" collapsed="false">
      <c r="A2" s="23" t="s">
        <v>82</v>
      </c>
      <c r="B2" s="23"/>
      <c r="C2" s="23"/>
      <c r="D2" s="23"/>
      <c r="E2" s="23"/>
    </row>
    <row r="3" customFormat="false" ht="33.75" hidden="false" customHeight="true" outlineLevel="0" collapsed="false">
      <c r="A3" s="24" t="s">
        <v>83</v>
      </c>
      <c r="B3" s="3" t="s">
        <v>84</v>
      </c>
      <c r="C3" s="25" t="s">
        <v>85</v>
      </c>
      <c r="D3" s="26" t="s">
        <v>86</v>
      </c>
      <c r="E3" s="3" t="s">
        <v>87</v>
      </c>
    </row>
    <row r="4" customFormat="false" ht="15" hidden="false" customHeight="true" outlineLevel="0" collapsed="false">
      <c r="A4" s="14" t="s">
        <v>9</v>
      </c>
      <c r="B4" s="27" t="n">
        <f aca="false">COUNTIF(feedbacks!$I:$I,A4)</f>
        <v>4</v>
      </c>
      <c r="C4" s="17" t="n">
        <f aca="false">COUNTIFS(feedbacks!$I:$I,A4,feedbacks!$E:$E,"YES")</f>
        <v>3</v>
      </c>
      <c r="D4" s="28" t="n">
        <f aca="false">COUNTIFS(feedbacks!$I:$I,A4,feedbacks!$F:$F,"YES")</f>
        <v>3</v>
      </c>
      <c r="E4" s="29" t="n">
        <f aca="false">IFERROR(C4/B4,0)</f>
        <v>0.75</v>
      </c>
    </row>
    <row r="5" customFormat="false" ht="15" hidden="false" customHeight="true" outlineLevel="0" collapsed="false">
      <c r="A5" s="21" t="s">
        <v>14</v>
      </c>
      <c r="B5" s="30" t="n">
        <f aca="false">COUNTIF(feedbacks!$I:$I,A5)</f>
        <v>4</v>
      </c>
      <c r="C5" s="17" t="n">
        <f aca="false">COUNTIFS(feedbacks!$I:$I,A5,feedbacks!$E:$E,"YES")</f>
        <v>4</v>
      </c>
      <c r="D5" s="28" t="n">
        <f aca="false">COUNTIFS(feedbacks!$I:$I,A5,feedbacks!$F:$F,"YES")</f>
        <v>3</v>
      </c>
      <c r="E5" s="31" t="n">
        <f aca="false">IFERROR(C5/B5,0)</f>
        <v>1</v>
      </c>
    </row>
    <row r="6" customFormat="false" ht="15" hidden="false" customHeight="true" outlineLevel="0" collapsed="false">
      <c r="A6" s="14" t="s">
        <v>23</v>
      </c>
      <c r="B6" s="27" t="n">
        <f aca="false">COUNTIF(feedbacks!$I:$I,A6)</f>
        <v>4</v>
      </c>
      <c r="C6" s="17" t="n">
        <f aca="false">COUNTIFS(feedbacks!$I:$I,A6,feedbacks!$E:$E,"YES")</f>
        <v>0</v>
      </c>
      <c r="D6" s="28" t="n">
        <f aca="false">COUNTIFS(feedbacks!$I:$I,A6,feedbacks!$F:$F,"YES")</f>
        <v>0</v>
      </c>
      <c r="E6" s="29" t="n">
        <f aca="false">IFERROR(C6/B6,0)</f>
        <v>0</v>
      </c>
    </row>
    <row r="7" customFormat="false" ht="19.5" hidden="false" customHeight="true" outlineLevel="0" collapsed="false">
      <c r="A7" s="32" t="s">
        <v>88</v>
      </c>
      <c r="B7" s="33" t="n">
        <f aca="false">SUM(B4:B6)</f>
        <v>12</v>
      </c>
      <c r="C7" s="33" t="n">
        <f aca="false">SUM(C4:C6)</f>
        <v>7</v>
      </c>
      <c r="D7" s="33" t="n">
        <f aca="false">SUM(D4:D6)</f>
        <v>6</v>
      </c>
      <c r="E7" s="34" t="n">
        <f aca="false">IFERROR(C7/B7,0)</f>
        <v>0.583333333333333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30"/>
    <col collapsed="false" customWidth="true" hidden="false" outlineLevel="0" max="4" min="4" style="1" width="20"/>
  </cols>
  <sheetData>
    <row r="1" customFormat="false" ht="30" hidden="false" customHeight="true" outlineLevel="0" collapsed="false">
      <c r="A1" s="35" t="s">
        <v>89</v>
      </c>
      <c r="B1" s="35"/>
      <c r="C1" s="35"/>
      <c r="D1" s="35"/>
    </row>
    <row r="3" customFormat="false" ht="21.75" hidden="false" customHeight="true" outlineLevel="0" collapsed="false">
      <c r="A3" s="36" t="s">
        <v>90</v>
      </c>
      <c r="B3" s="36"/>
      <c r="C3" s="36"/>
      <c r="D3" s="36"/>
    </row>
    <row r="4" customFormat="false" ht="27.75" hidden="false" customHeight="true" outlineLevel="0" collapsed="false">
      <c r="A4" s="37" t="s">
        <v>91</v>
      </c>
      <c r="B4" s="37"/>
      <c r="C4" s="37"/>
      <c r="D4" s="37"/>
    </row>
    <row r="5" customFormat="false" ht="55.5" hidden="false" customHeight="true" outlineLevel="0" collapsed="false">
      <c r="A5" s="38" t="s">
        <v>92</v>
      </c>
      <c r="B5" s="38"/>
      <c r="C5" s="38"/>
      <c r="D5" s="38"/>
    </row>
    <row r="6" customFormat="false" ht="19.5" hidden="false" customHeight="true" outlineLevel="0" collapsed="false">
      <c r="A6" s="39" t="str">
        <f aca="false">IFERROR(INDEX(ticket!$B:$B, MATCH(A4, ticket!$E:$E, 0)), "NOT FOUND")</f>
        <v>NOT FOUND</v>
      </c>
      <c r="B6" s="39"/>
      <c r="C6" s="39"/>
      <c r="D6" s="39"/>
    </row>
    <row r="7" customFormat="false" ht="15.75" hidden="false" customHeight="true" outlineLevel="0" collapsed="false">
      <c r="A7" s="37" t="s">
        <v>93</v>
      </c>
      <c r="B7" s="37"/>
      <c r="C7" s="37"/>
      <c r="D7" s="37"/>
    </row>
    <row r="8" customFormat="false" ht="15.75" hidden="false" customHeight="true" outlineLevel="0" collapsed="false">
      <c r="A8" s="37" t="s">
        <v>94</v>
      </c>
      <c r="B8" s="37"/>
      <c r="C8" s="37"/>
      <c r="D8" s="37"/>
    </row>
    <row r="9" customFormat="false" ht="15.75" hidden="false" customHeight="true" outlineLevel="0" collapsed="false">
      <c r="A9" s="37" t="s">
        <v>95</v>
      </c>
      <c r="B9" s="37"/>
      <c r="C9" s="37"/>
      <c r="D9" s="37"/>
    </row>
    <row r="11" customFormat="false" ht="19.5" hidden="false" customHeight="true" outlineLevel="0" collapsed="false">
      <c r="A11" s="38" t="s">
        <v>96</v>
      </c>
      <c r="B11" s="38"/>
      <c r="C11" s="38"/>
      <c r="D11" s="38"/>
    </row>
    <row r="12" customFormat="false" ht="19.5" hidden="false" customHeight="true" outlineLevel="0" collapsed="false">
      <c r="A12" s="39" t="s">
        <v>97</v>
      </c>
      <c r="B12" s="39"/>
      <c r="C12" s="39"/>
      <c r="D12" s="39"/>
    </row>
    <row r="13" customFormat="false" ht="15.75" hidden="false" customHeight="true" outlineLevel="0" collapsed="false">
      <c r="A13" s="37" t="s">
        <v>98</v>
      </c>
      <c r="B13" s="37"/>
      <c r="C13" s="37"/>
      <c r="D13" s="37"/>
    </row>
    <row r="15" customFormat="false" ht="21.75" hidden="false" customHeight="true" outlineLevel="0" collapsed="false">
      <c r="A15" s="36" t="s">
        <v>99</v>
      </c>
      <c r="B15" s="36"/>
      <c r="C15" s="36"/>
      <c r="D15" s="36"/>
    </row>
    <row r="16" customFormat="false" ht="15.75" hidden="false" customHeight="true" outlineLevel="0" collapsed="false">
      <c r="A16" s="37" t="s">
        <v>100</v>
      </c>
      <c r="B16" s="37"/>
      <c r="C16" s="37"/>
      <c r="D16" s="37"/>
    </row>
    <row r="17" customFormat="false" ht="15.75" hidden="false" customHeight="true" outlineLevel="0" collapsed="false">
      <c r="A17" s="37" t="s">
        <v>101</v>
      </c>
      <c r="B17" s="37"/>
      <c r="C17" s="37"/>
      <c r="D17" s="37"/>
    </row>
    <row r="18" customFormat="false" ht="31.5" hidden="false" customHeight="true" outlineLevel="0" collapsed="false">
      <c r="A18" s="39" t="s">
        <v>102</v>
      </c>
      <c r="B18" s="39"/>
      <c r="C18" s="39"/>
      <c r="D18" s="39"/>
    </row>
    <row r="19" customFormat="false" ht="15.75" hidden="false" customHeight="true" outlineLevel="0" collapsed="false">
      <c r="A19" s="37" t="s">
        <v>103</v>
      </c>
      <c r="B19" s="37"/>
      <c r="C19" s="37"/>
      <c r="D19" s="37"/>
    </row>
    <row r="20" customFormat="false" ht="15.75" hidden="false" customHeight="true" outlineLevel="0" collapsed="false">
      <c r="A20" s="37" t="s">
        <v>104</v>
      </c>
      <c r="B20" s="37"/>
      <c r="C20" s="37"/>
      <c r="D20" s="37"/>
    </row>
    <row r="22" customFormat="false" ht="15.75" hidden="false" customHeight="true" outlineLevel="0" collapsed="false">
      <c r="A22" s="37" t="s">
        <v>105</v>
      </c>
      <c r="B22" s="37"/>
      <c r="C22" s="37"/>
      <c r="D22" s="37"/>
    </row>
    <row r="23" customFormat="false" ht="19.5" hidden="false" customHeight="true" outlineLevel="0" collapsed="false">
      <c r="A23" s="39" t="s">
        <v>106</v>
      </c>
      <c r="B23" s="39"/>
      <c r="C23" s="39"/>
      <c r="D23" s="39"/>
    </row>
    <row r="24" customFormat="false" ht="15.75" hidden="false" customHeight="true" outlineLevel="0" collapsed="false">
      <c r="A24" s="37" t="s">
        <v>107</v>
      </c>
      <c r="B24" s="37"/>
      <c r="C24" s="37"/>
      <c r="D24" s="37"/>
    </row>
    <row r="25" customFormat="false" ht="15.75" hidden="false" customHeight="true" outlineLevel="0" collapsed="false">
      <c r="A25" s="37" t="s">
        <v>108</v>
      </c>
      <c r="B25" s="37"/>
      <c r="C25" s="37"/>
      <c r="D25" s="37"/>
    </row>
    <row r="26" customFormat="false" ht="15.75" hidden="false" customHeight="true" outlineLevel="0" collapsed="false">
      <c r="A26" s="37" t="s">
        <v>109</v>
      </c>
      <c r="B26" s="37"/>
      <c r="C26" s="37"/>
      <c r="D26" s="37"/>
    </row>
    <row r="28" customFormat="false" ht="21.75" hidden="false" customHeight="true" outlineLevel="0" collapsed="false">
      <c r="A28" s="36" t="s">
        <v>110</v>
      </c>
      <c r="B28" s="36"/>
      <c r="C28" s="36"/>
      <c r="D28" s="36"/>
    </row>
    <row r="29" customFormat="false" ht="15.75" hidden="false" customHeight="true" outlineLevel="0" collapsed="false">
      <c r="A29" s="37" t="s">
        <v>111</v>
      </c>
      <c r="B29" s="37"/>
      <c r="C29" s="37"/>
      <c r="D29" s="37"/>
    </row>
    <row r="30" customFormat="false" ht="31.5" hidden="false" customHeight="true" outlineLevel="0" collapsed="false">
      <c r="A30" s="39" t="s">
        <v>112</v>
      </c>
      <c r="B30" s="39"/>
      <c r="C30" s="39"/>
      <c r="D30" s="39"/>
    </row>
    <row r="31" customFormat="false" ht="15.75" hidden="false" customHeight="true" outlineLevel="0" collapsed="false">
      <c r="A31" s="37" t="s">
        <v>113</v>
      </c>
      <c r="B31" s="37"/>
      <c r="C31" s="37"/>
      <c r="D31" s="37"/>
    </row>
    <row r="32" customFormat="false" ht="15.75" hidden="false" customHeight="true" outlineLevel="0" collapsed="false">
      <c r="A32" s="37" t="s">
        <v>114</v>
      </c>
      <c r="B32" s="37"/>
      <c r="C32" s="37"/>
      <c r="D32" s="37"/>
    </row>
    <row r="33" customFormat="false" ht="15.75" hidden="false" customHeight="true" outlineLevel="0" collapsed="false">
      <c r="A33" s="37" t="s">
        <v>115</v>
      </c>
      <c r="B33" s="37"/>
      <c r="C33" s="37"/>
      <c r="D33" s="37"/>
    </row>
    <row r="34" customFormat="false" ht="15.75" hidden="false" customHeight="true" outlineLevel="0" collapsed="false">
      <c r="A34" s="37" t="s">
        <v>116</v>
      </c>
      <c r="B34" s="37"/>
      <c r="C34" s="37"/>
      <c r="D34" s="37"/>
    </row>
    <row r="36" customFormat="false" ht="15.75" hidden="false" customHeight="true" outlineLevel="0" collapsed="false">
      <c r="A36" s="37" t="s">
        <v>117</v>
      </c>
      <c r="B36" s="37"/>
      <c r="C36" s="37"/>
      <c r="D36" s="37"/>
    </row>
    <row r="37" customFormat="false" ht="19.5" hidden="false" customHeight="true" outlineLevel="0" collapsed="false">
      <c r="A37" s="39" t="s">
        <v>118</v>
      </c>
      <c r="B37" s="39"/>
      <c r="C37" s="39"/>
      <c r="D37" s="39"/>
    </row>
    <row r="38" customFormat="false" ht="15.75" hidden="false" customHeight="true" outlineLevel="0" collapsed="false">
      <c r="A38" s="37" t="s">
        <v>119</v>
      </c>
      <c r="B38" s="37"/>
      <c r="C38" s="37"/>
      <c r="D38" s="37"/>
    </row>
    <row r="40" customFormat="false" ht="21.75" hidden="false" customHeight="true" outlineLevel="0" collapsed="false">
      <c r="A40" s="36" t="s">
        <v>120</v>
      </c>
      <c r="B40" s="36"/>
      <c r="C40" s="36"/>
      <c r="D40" s="36"/>
    </row>
    <row r="41" customFormat="false" ht="15.75" hidden="false" customHeight="true" outlineLevel="0" collapsed="false">
      <c r="A41" s="37" t="s">
        <v>121</v>
      </c>
      <c r="B41" s="37"/>
      <c r="C41" s="37"/>
      <c r="D41" s="37"/>
    </row>
    <row r="42" customFormat="false" ht="15.75" hidden="false" customHeight="true" outlineLevel="0" collapsed="false">
      <c r="A42" s="37" t="s">
        <v>122</v>
      </c>
      <c r="B42" s="37"/>
      <c r="C42" s="37"/>
      <c r="D42" s="37"/>
    </row>
    <row r="43" customFormat="false" ht="15.75" hidden="false" customHeight="true" outlineLevel="0" collapsed="false">
      <c r="A43" s="37" t="s">
        <v>123</v>
      </c>
      <c r="B43" s="37"/>
      <c r="C43" s="37"/>
      <c r="D43" s="37"/>
    </row>
    <row r="44" customFormat="false" ht="15.75" hidden="false" customHeight="true" outlineLevel="0" collapsed="false">
      <c r="A44" s="37" t="s">
        <v>124</v>
      </c>
      <c r="B44" s="37"/>
      <c r="C44" s="37"/>
      <c r="D44" s="37"/>
    </row>
    <row r="45" customFormat="false" ht="15.75" hidden="false" customHeight="true" outlineLevel="0" collapsed="false">
      <c r="A45" s="37" t="s">
        <v>125</v>
      </c>
      <c r="B45" s="37"/>
      <c r="C45" s="37"/>
      <c r="D45" s="37"/>
    </row>
    <row r="46" customFormat="false" ht="15.75" hidden="false" customHeight="true" outlineLevel="0" collapsed="false">
      <c r="A46" s="37" t="s">
        <v>126</v>
      </c>
      <c r="B46" s="37"/>
      <c r="C46" s="37"/>
      <c r="D46" s="37"/>
    </row>
  </sheetData>
  <mergeCells count="39">
    <mergeCell ref="A1:D1"/>
    <mergeCell ref="A3:D3"/>
    <mergeCell ref="A4:D4"/>
    <mergeCell ref="A5:D5"/>
    <mergeCell ref="A6:D6"/>
    <mergeCell ref="A7:D7"/>
    <mergeCell ref="A8:D8"/>
    <mergeCell ref="A9:D9"/>
    <mergeCell ref="A11:D11"/>
    <mergeCell ref="A12:D12"/>
    <mergeCell ref="A13:D13"/>
    <mergeCell ref="A15:D15"/>
    <mergeCell ref="A16:D16"/>
    <mergeCell ref="A17:D17"/>
    <mergeCell ref="A18:D18"/>
    <mergeCell ref="A19:D19"/>
    <mergeCell ref="A20:D20"/>
    <mergeCell ref="A22:D22"/>
    <mergeCell ref="A23:D23"/>
    <mergeCell ref="A24:D24"/>
    <mergeCell ref="A25:D25"/>
    <mergeCell ref="A26:D26"/>
    <mergeCell ref="A28:D28"/>
    <mergeCell ref="A29:D29"/>
    <mergeCell ref="A30:D30"/>
    <mergeCell ref="A31:D31"/>
    <mergeCell ref="A32:D32"/>
    <mergeCell ref="A33:D33"/>
    <mergeCell ref="A34:D34"/>
    <mergeCell ref="A36:D36"/>
    <mergeCell ref="A37:D37"/>
    <mergeCell ref="A38:D38"/>
    <mergeCell ref="A40:D40"/>
    <mergeCell ref="A41:D41"/>
    <mergeCell ref="A42:D42"/>
    <mergeCell ref="A43:D43"/>
    <mergeCell ref="A44:D44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2026-04-09T05:31:40Z</dcterms:created>
  <dc:creator>openpyxl</dc:creator>
  <dc:description/>
  <dc:language>en-US</dc:language>
  <cp:lastModifiedBy/>
  <dcterms:modified xsi:type="dcterms:W3CDTF">2026-04-09T05:31:55Z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